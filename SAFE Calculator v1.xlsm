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vanti\"/>
    </mc:Choice>
  </mc:AlternateContent>
  <xr:revisionPtr revIDLastSave="0" documentId="8_{45140191-579E-4CFE-B747-BB420294B914}" xr6:coauthVersionLast="43" xr6:coauthVersionMax="43" xr10:uidLastSave="{00000000-0000-0000-0000-000000000000}"/>
  <bookViews>
    <workbookView xWindow="-108" yWindow="-108" windowWidth="23256" windowHeight="12576" tabRatio="823" xr2:uid="{00000000-000D-0000-FFFF-FFFF00000000}"/>
  </bookViews>
  <sheets>
    <sheet name="SAFE - Simple version" sheetId="23" r:id="rId1"/>
  </sheets>
  <externalReferences>
    <externalReference r:id="rId2"/>
  </externalReferences>
  <definedNames>
    <definedName name="__FDS_HYPERLINK_TOGGLE_STATE__" hidden="1">"ON"</definedName>
    <definedName name="_Order1" hidden="1">255</definedName>
    <definedName name="_Order2" hidden="1">255</definedName>
    <definedName name="AA" hidden="1">{#N/A,#N/A,TRUE,"PL TOTAL";#N/A,#N/A,TRUE,"PTF 95";#N/A,#N/A,TRUE,"PTF 96";#N/A,#N/A,TRUE,"ARD 95 ";#N/A,#N/A,TRUE,"ARD 96";#N/A,#N/A,TRUE,"RE 95";#N/A,#N/A,TRUE,"RE 96";#N/A,#N/A,TRUE,"alloc.int"}</definedName>
    <definedName name="AAAA" hidden="1">{#N/A,#N/A,FALSE,"PL TOTAL";#N/A,#N/A,FALSE,"PL index";#N/A,#N/A,FALSE,"rca 96";#N/A,#N/A,FALSE,"ARD 96";#N/A,#N/A,FALSE,"RE 96 (2)";#N/A,#N/A,FALSE,"np year end";#N/A,#N/A,FALSE,"can year end ";#N/A,#N/A,FALSE,"ptf year end  ";#N/A,#N/A,FALSE,"premi medi";#N/A,#N/A,FALSE,"re can np";#N/A,#N/A,FALSE,"re ptf";#N/A,#N/A,FALSE,"Freq rc"}</definedName>
    <definedName name="anscount" hidden="1">1</definedName>
    <definedName name="asdf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;"Prospective+1",#N/A,FALSE,"Prosp+1"}</definedName>
    <definedName name="blab" hidden="1">{#N/A,#N/A,TRUE,"Sheet16"}</definedName>
    <definedName name="bla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_opts" hidden="1">"1, 6, 1, False, 2, False, False, , 0, False, True, 1, 2"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_opts" hidden="1">"1, 9, 1, False, 2, False, False, , 0, False, False, 1, 1"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AAAF_opts" hidden="1">"1, 1, 1, False, 2, False, False, , 0, False, False, 3, 2"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4AB240_opts" hidden="1">"1, 9, 1, False, 2, False, False, , 0, False, True, 2, 2"</definedName>
    <definedName name="cb_sChart1D5891_opts" hidden="1">"1, 9, 1, False, 2, False, False, , 0, False, True, 2, 2"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omparable" hidden="1">{"First Page",#N/A,FALSE,"Surfactants LBO";"Second Page",#N/A,FALSE,"Surfactants LBO"}</definedName>
    <definedName name="fv" hidden="1">{#N/A,#N/A,FALSE,"Eastern";#N/A,#N/A,FALSE,"Western"}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39237.6747337963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hk" hidden="1">#N/A</definedName>
    <definedName name="jyg" hidden="1">{#N/A,#N/A,FALSE,"Assumptions";#N/A,#N/A,FALSE,"Switches";#N/A,#N/A,FALSE,"Bidder P&amp;L";#N/A,#N/A,FALSE,"Bidder BS";#N/A,#N/A,FALSE,"Target P&amp;L";#N/A,#N/A,FALSE,"Target BS";#N/A,#N/A,FALSE,"Target Options";#N/A,#N/A,FALSE,"Comb P&amp;L Acq Yr";#N/A,#N/A,FALSE,"Comb P&amp;L Acq Yr + 1";#N/A,#N/A,FALSE,"Comb P&amp;L Acq Yr + 2";#N/A,#N/A,FALSE,"Comb P&amp;L Acq Yr + 3";#N/A,#N/A,FALSE,"Comb P&amp;L Acq Yr + 4";#N/A,#N/A,FALSE,"Comb P&amp;L Acq Yr + 5";#N/A,#N/A,FALSE,"Comb BS";#N/A,#N/A,FALSE,"Consid Mix"}</definedName>
    <definedName name="kjh" hidden="1">{#N/A,#N/A,FALSE,"Clyd. Comps";#N/A,#N/A,FALSE,"Sum of Parts";#N/A,#N/A,FALSE,"York. Comps";#N/A,#N/A,FALSE,"North. Comps";#N/A,#N/A,FALSE,"NIB Comps";#N/A,#N/A,FALSE,"Clyd. DCF";#N/A,#N/A,FALSE,"York. DCF";#N/A,#N/A,FALSE,"North. DCF";#N/A,#N/A,FALSE,"NIB DCF";#N/A,#N/A,FALSE,"Clyd. DTPF";#N/A,#N/A,FALSE,"York. DTPF";#N/A,#N/A,FALSE,"North. DTPF";#N/A,#N/A,FALSE,"NIB DTPF"}</definedName>
    <definedName name="limcount" hidden="1">1</definedName>
    <definedName name="lkj" hidden="1">{"dcf",#N/A,FALSE,"DCF";"sens",#N/A,FALSE,"DCF"}</definedName>
    <definedName name="lkjh" hidden="1">{#N/A,#N/A,FALSE,"Assumptions";#N/A,#N/A,FALSE,"Switches";#N/A,#N/A,FALSE,"Bidder P&amp;L";#N/A,#N/A,FALSE,"Bidder BS";#N/A,#N/A,FALSE,"Bidder Ratios";#N/A,#N/A,FALSE,"Target P&amp;L";#N/A,#N/A,FALSE,"Target BS";#N/A,#N/A,FALSE,"Target Ratios";#N/A,#N/A,FALSE,"Target Options";#N/A,#N/A,FALSE,"Comb P&amp;L Acq Yr";#N/A,#N/A,FALSE,"Comb P&amp;L Acq Yr + 1";#N/A,#N/A,FALSE,"Comb P&amp;L Acq Yr + 2";#N/A,#N/A,FALSE,"Comb P&amp;L Acq Yr + 3";#N/A,#N/A,FALSE,"Comb P&amp;L Acq Yr + 4";#N/A,#N/A,FALSE,"Comb P&amp;L Acq Yr + 5";#N/A,#N/A,FALSE,"Comb BS";#N/A,#N/A,FALSE,"Synergies";#N/A,#N/A,FALSE,"Share of the cake";#N/A,#N/A,FALSE,"Consid Mix"}</definedName>
    <definedName name="new_w" hidden="1">{"comps1_1",#N/A,FALSE,"Comps1";"comps1_2",#N/A,FALSE,"Comps1";"comps1_3",#N/A,FALSE,"Comps1";"comps1_4",#N/A,FALSE,"Comps1";"comps1_5",#N/A,FALSE,"Comps1"}</definedName>
    <definedName name="percent_multiplier">100</definedName>
    <definedName name="pippo" hidden="1">{"CECons",#N/A,FALSE,"CE"}</definedName>
    <definedName name="Pitchbook" hidden="1">{#N/A,#N/A,TRUE,"Sheet16"}</definedName>
    <definedName name="s" hidden="1">#N/A</definedName>
    <definedName name="sdf" hidden="1">{"First Page",#N/A,FALSE,"Surfactants LBO";"Second Page",#N/A,FALSE,"Surfactants LBO"}</definedName>
    <definedName name="sencount" hidden="1">1</definedName>
    <definedName name="sfg" hidden="1">{"comps1_1",#N/A,FALSE,"Comps1";"comps1_2",#N/A,FALSE,"Comps1";"comps1_3",#N/A,FALSE,"Comps1";"comps1_4",#N/A,FALSE,"Comps1";"comps1_5",#N/A,FALSE,"Comps1";"comps2_1",#N/A,FALSE,"Comps2";"comps2_2",#N/A,FALSE,"Comps2";"comps2_3",#N/A,FALSE,"Comps2";"comps2_4",#N/A,FALSE,"Comps2";"comps2_5",#N/A,FALSE,"Comps2"}</definedName>
    <definedName name="sk" hidden="1">"1, 3, 1, False, 2, False, False, , 0, False, True, 3, 2"</definedName>
    <definedName name="w" hidden="1">{"comps1_1",#N/A,FALSE,"Comps1";"comps1_2",#N/A,FALSE,"Comps1";"comps1_3",#N/A,FALSE,"Comps1";"comps1_4",#N/A,FALSE,"Comps1";"comps1_5",#N/A,FALSE,"Comps1"}</definedName>
    <definedName name="we" hidden="1">{#N/A,#N/A,FALSE,"Clyd. Income";#N/A,#N/A,FALSE,"York. Income";#N/A,#N/A,FALSE,"North. Income";#N/A,#N/A,FALSE,"NIB Income";#N/A,#N/A,FALSE,"NAB UK Total"}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omps1_Printing." hidden="1">{"comps1_1",#N/A,FALSE,"Comps1";"comps1_2",#N/A,FALSE,"Comps1";"comps1_3",#N/A,FALSE,"Comps1";"comps1_4",#N/A,FALSE,"Comps1";"comps1_5",#N/A,FALSE,"Comps1"}</definedName>
    <definedName name="wrn.Comps2_Printing." hidden="1">{"comps2_1",#N/A,FALSE,"Comps2";"comps2_2",#N/A,FALSE,"Comps2";"comps2_3",#N/A,FALSE,"Comps2";"comps2_4",#N/A,FALSE,"Comps2";"comps2_5",#N/A,FALSE,"Comps2"}</definedName>
    <definedName name="wrn.Darwin." hidden="1">{#N/A,#N/A,FALSE,"Title";#N/A,#N/A,FALSE,"Assumptions";#N/A,#N/A,FALSE,"Bidder";#N/A,#N/A,FALSE,"Target";#N/A,#N/A,FALSE,"Curr";#N/A,#N/A,FALSE,"Prosp";#N/A,#N/A,FALSE,"Prosp+1";#N/A,#N/A,FALSE,"Summary";#N/A,#N/A,FALSE,"Debtsched";#N/A,#N/A,FALSE,"Sensitivities"}</definedName>
    <definedName name="wrn.fcst._.96." hidden="1">{#N/A,#N/A,FALSE,"PL TOTAL";#N/A,#N/A,FALSE,"PL index";#N/A,#N/A,FALSE,"rca 96";#N/A,#N/A,FALSE,"ARD 96";#N/A,#N/A,FALSE,"RE 96 (2)";#N/A,#N/A,FALSE,"np year end";#N/A,#N/A,FALSE,"can year end ";#N/A,#N/A,FALSE,"ptf year end  ";#N/A,#N/A,FALSE,"premi medi";#N/A,#N/A,FALSE,"re can np";#N/A,#N/A,FALSE,"re ptf";#N/A,#N/A,FALSE,"Freq rc"}</definedName>
    <definedName name="wrn.Gefran." hidden="1">{"CECons",#N/A,FALSE,"CE"}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Model." hidden="1">{"DCF",#N/A,FALSE,"DCF"}</definedName>
    <definedName name="wrn.print." hidden="1">{"dcf",#N/A,FALSE,"DCF";"sens",#N/A,FALSE,"DCF"}</definedName>
    <definedName name="wrn.Print._.All." hidden="1">{#N/A,#N/A,FALSE,"Assumptions";#N/A,#N/A,FALSE,"Switches";#N/A,#N/A,FALSE,"Bidder P&amp;L";#N/A,#N/A,FALSE,"Bidder BS";#N/A,#N/A,FALSE,"Bidder Ratios";#N/A,#N/A,FALSE,"Target P&amp;L";#N/A,#N/A,FALSE,"Target BS";#N/A,#N/A,FALSE,"Target Ratios";#N/A,#N/A,FALSE,"Target Options";#N/A,#N/A,FALSE,"Comb P&amp;L Acq Yr";#N/A,#N/A,FALSE,"Comb P&amp;L Acq Yr + 1";#N/A,#N/A,FALSE,"Comb P&amp;L Acq Yr + 2";#N/A,#N/A,FALSE,"Comb P&amp;L Acq Yr + 3";#N/A,#N/A,FALSE,"Comb P&amp;L Acq Yr + 4";#N/A,#N/A,FALSE,"Comb P&amp;L Acq Yr + 5";#N/A,#N/A,FALSE,"Comb BS";#N/A,#N/A,FALSE,"Synergies";#N/A,#N/A,FALSE,"Share of the cake";#N/A,#N/A,FALSE,"Consid Mix"}</definedName>
    <definedName name="wrn.Print._.All._.Valuation." hidden="1">{#N/A,#N/A,FALSE,"Clyd. Comps";#N/A,#N/A,FALSE,"Sum of Parts";#N/A,#N/A,FALSE,"York. Comps";#N/A,#N/A,FALSE,"North. Comps";#N/A,#N/A,FALSE,"NIB Comps";#N/A,#N/A,FALSE,"Clyd. DCF";#N/A,#N/A,FALSE,"York. DCF";#N/A,#N/A,FALSE,"North. DCF";#N/A,#N/A,FALSE,"NIB DCF";#N/A,#N/A,FALSE,"Clyd. DTPF";#N/A,#N/A,FALSE,"York. DTPF";#N/A,#N/A,FALSE,"North. DTPF";#N/A,#N/A,FALSE,"NIB DTPF"}</definedName>
    <definedName name="wrn.Print._.Document._.Pages." hidden="1">{#N/A,#N/A,FALSE,"Assumptions";#N/A,#N/A,FALSE,"Switches";#N/A,#N/A,FALSE,"Bidder P&amp;L";#N/A,#N/A,FALSE,"Bidder BS";#N/A,#N/A,FALSE,"Target P&amp;L";#N/A,#N/A,FALSE,"Target BS";#N/A,#N/A,FALSE,"Target Options";#N/A,#N/A,FALSE,"Comb P&amp;L Acq Yr";#N/A,#N/A,FALSE,"Comb P&amp;L Acq Yr + 1";#N/A,#N/A,FALSE,"Comb P&amp;L Acq Yr + 2";#N/A,#N/A,FALSE,"Comb P&amp;L Acq Yr + 3";#N/A,#N/A,FALSE,"Comb P&amp;L Acq Yr + 4";#N/A,#N/A,FALSE,"Comb P&amp;L Acq Yr + 5";#N/A,#N/A,FALSE,"Comb BS";#N/A,#N/A,FALSE,"Consid Mix"}</definedName>
    <definedName name="wrn.Print._.the._.lot." hidden="1">{"First Page",#N/A,FALSE,"Surfactants LBO";"Second Page",#N/A,FALSE,"Surfactants LBO"}</definedName>
    <definedName name="wrn.Print._.Underlying._.Figures." hidden="1">{#N/A,#N/A,FALSE,"Clyd. Income";#N/A,#N/A,FALSE,"York. Income";#N/A,#N/A,FALSE,"North. Income";#N/A,#N/A,FALSE,"NIB Income";#N/A,#N/A,FALSE,"NAB UK Total"}</definedName>
    <definedName name="wrn.Print_Comps_Report." hidden="1">{"comps1_1",#N/A,FALSE,"Comps1";"comps1_2",#N/A,FALSE,"Comps1";"comps1_3",#N/A,FALSE,"Comps1";"comps1_4",#N/A,FALSE,"Comps1";"comps1_5",#N/A,FALSE,"Comps1";"comps2_1",#N/A,FALSE,"Comps2";"comps2_2",#N/A,FALSE,"Comps2";"comps2_3",#N/A,FALSE,"Comps2";"comps2_4",#N/A,FALSE,"Comps2";"comps2_5",#N/A,FALSE,"Comps2"}</definedName>
    <definedName name="wrn.Printing._.Report.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;"Prospective+1",#N/A,FALSE,"Prosp+1"}</definedName>
    <definedName name="wrn.Printing._.the._.transactions._.sheets." hidden="1">{#N/A,#N/A,FALSE,"Eastern";#N/A,#N/A,FALSE,"Western"}</definedName>
    <definedName name="wrn.printsyns." hidden="1">{"dcfsyn",#N/A,FALSE,"DCFSYN";"senssyn",#N/A,FALSE,"DCFSYN"}</definedName>
    <definedName name="wrn.Report1." hidden="1">{#N/A,#N/A,FALSE,"Operations";#N/A,#N/A,FALSE,"Financials"}</definedName>
    <definedName name="wrn.SB_PRES." hidden="1">{#N/A,#N/A,TRUE,"Sheet16"}</definedName>
    <definedName name="wrn.sens3." hidden="1">{#N/A,#N/A,TRUE,"DCF";#N/A,#N/A,TRUE,"DCF"}</definedName>
    <definedName name="wrn.stampa." hidden="1">{#N/A,#N/A,TRUE,"PL TOTAL";#N/A,#N/A,TRUE,"PTF 95";#N/A,#N/A,TRUE,"PTF 96";#N/A,#N/A,TRUE,"ARD 95 ";#N/A,#N/A,TRUE,"ARD 96";#N/A,#N/A,TRUE,"RE 95";#N/A,#N/A,TRUE,"RE 96";#N/A,#N/A,TRUE,"alloc.int"}</definedName>
    <definedName name="wrn.stampa._.95." hidden="1">{#N/A,#N/A,FALSE,"PL TOTAL";#N/A,#N/A,FALSE,"PTF 95";#N/A,#N/A,FALSE,"ARD 95 ";#N/A,#N/A,FALSE,"RE 95"}</definedName>
    <definedName name="wt" hidden="1">{"comps2_1",#N/A,FALSE,"Comps2";"comps2_2",#N/A,FALSE,"Comps2";"comps2_3",#N/A,FALSE,"Comps2";"comps2_4",#N/A,FALSE,"Comps2";"comps2_5",#N/A,FALSE,"Comps2"}</definedName>
    <definedName name="x" hidden="1">{"comps1_1",#N/A,FALSE,"Comps1";"comps1_2",#N/A,FALSE,"Comps1";"comps1_3",#N/A,FALSE,"Comps1";"comps1_4",#N/A,FALSE,"Comps1";"comps1_5",#N/A,FALSE,"Comps1"}</definedName>
    <definedName name="Z_61F3E348_5958_11D3_8892_0000832DEAF9_.wvu.PrintTitles" hidden="1">[1]NCO!$A:$B,[1]NCO!$1:$7</definedName>
    <definedName name="Z_61F3E349_5958_11D3_8892_0000832DEAF9_.wvu.PrintTitles" hidden="1">[1]NCO!$A:$B,[1]NCO!$1:$7</definedName>
    <definedName name="Z_61F3E34B_5958_11D3_8892_0000832DEAF9_.wvu.PrintTitles" hidden="1">[1]NCO!$A:$B,[1]NCO!$1:$7</definedName>
    <definedName name="Z_61F3E34C_5958_11D3_8892_0000832DEAF9_.wvu.PrintTitles" hidden="1">[1]NCO!$A:$B,[1]NCO!$1:$7</definedName>
    <definedName name="Z_61F3E34E_5958_11D3_8892_0000832DEAF9_.wvu.PrintTitles" hidden="1">[1]NCO!$A:$B,[1]NCO!$1:$7</definedName>
    <definedName name="Z_61F3E34F_5958_11D3_8892_0000832DEAF9_.wvu.PrintTitles" hidden="1">[1]NCO!$A:$B,[1]NCO!$1:$7</definedName>
    <definedName name="Z_61F3E351_5958_11D3_8892_0000832DEAF9_.wvu.PrintTitles" hidden="1">[1]NCO!$A:$B,[1]NCO!$1:$7</definedName>
    <definedName name="Z_61F3E352_5958_11D3_8892_0000832DEAF9_.wvu.PrintTitles" hidden="1">[1]NCO!$A:$B,[1]NCO!$1:$7</definedName>
    <definedName name="Z_61F3E355_5958_11D3_8892_0000832DEAF9_.wvu.PrintTitles" hidden="1">[1]NCO!$A:$B,[1]NCO!$1:$7</definedName>
    <definedName name="Z_61F3E356_5958_11D3_8892_0000832DEAF9_.wvu.PrintTitles" hidden="1">[1]NCO!$A:$B,[1]NCO!$1:$7</definedName>
    <definedName name="Z_61F3E358_5958_11D3_8892_0000832DEAF9_.wvu.PrintTitles" hidden="1">[1]NCO!$A:$B,[1]NCO!$1:$7</definedName>
    <definedName name="Z_61F3E359_5958_11D3_8892_0000832DEAF9_.wvu.PrintTitles" hidden="1">[1]NCO!$A:$B,[1]NCO!$1:$7</definedName>
    <definedName name="Z_61F3E35B_5958_11D3_8892_0000832DEAF9_.wvu.PrintTitles" hidden="1">[1]NCO!$A:$B,[1]NCO!$1:$7</definedName>
    <definedName name="Z_61F3E35C_5958_11D3_8892_0000832DEAF9_.wvu.PrintTitles" hidden="1">[1]NCO!$A:$B,[1]NCO!$1:$7</definedName>
    <definedName name="Z_61F3E35E_5958_11D3_8892_0000832DEAF9_.wvu.PrintTitles" hidden="1">[1]NCO!$A:$B,[1]NCO!$1:$7</definedName>
    <definedName name="Z_61F3E35F_5958_11D3_8892_0000832DEAF9_.wvu.PrintTitles" hidden="1">[1]NCO!$A:$B,[1]NCO!$1:$7</definedName>
    <definedName name="Z_61F3E361_5958_11D3_8892_0000832DEAF9_.wvu.PrintTitles" hidden="1">[1]NCO!$A:$B,[1]NCO!$1:$7</definedName>
    <definedName name="Z_61F3E362_5958_11D3_8892_0000832DEAF9_.wvu.PrintTitles" hidden="1">[1]NCO!$A:$B,[1]NCO!$1:$7</definedName>
    <definedName name="Z_61F3E364_5958_11D3_8892_0000832DEAF9_.wvu.PrintTitles" hidden="1">[1]NCO!$A:$B,[1]NCO!$1:$7</definedName>
    <definedName name="Z_61F3E365_5958_11D3_8892_0000832DEAF9_.wvu.PrintTitles" hidden="1">[1]NCO!$A:$B,[1]NCO!$1:$7</definedName>
    <definedName name="Z_87743A9C_80A6_11D3_8889_0000832DEAF9_.wvu.PrintTitles" hidden="1">[1]NCO!$A:$B,[1]NCO!$1:$7</definedName>
    <definedName name="Z_87743A9D_80A6_11D3_8889_0000832DEAF9_.wvu.PrintTitles" hidden="1">[1]NCO!$A:$B,[1]NCO!$1:$7</definedName>
    <definedName name="Z_87743A9E_80A6_11D3_8889_0000832DEAF9_.wvu.PrintTitles" hidden="1">[1]NCO!$A:$B,[1]NCO!$1:$7</definedName>
    <definedName name="Z_87743A9F_80A6_11D3_8889_0000832DEAF9_.wvu.PrintTitles" hidden="1">[1]NCO!$A:$B,[1]NCO!$1:$7</definedName>
    <definedName name="Z_87743AA0_80A6_11D3_8889_0000832DEAF9_.wvu.PrintTitles" hidden="1">[1]NCO!$A:$B,[1]NCO!$1:$7</definedName>
    <definedName name="Z_87743AA1_80A6_11D3_8889_0000832DEAF9_.wvu.PrintTitles" hidden="1">[1]NCO!$A:$B,[1]NCO!$1:$7</definedName>
    <definedName name="Z_87743AA2_80A6_11D3_8889_0000832DEAF9_.wvu.PrintTitles" hidden="1">[1]NCO!$A:$B,[1]NCO!$1:$7</definedName>
    <definedName name="Z_87743AA3_80A6_11D3_8889_0000832DEAF9_.wvu.PrintTitles" hidden="1">[1]NCO!$A:$B,[1]NCO!$1:$7</definedName>
    <definedName name="Z_87743AA4_80A6_11D3_8889_0000832DEAF9_.wvu.PrintTitles" hidden="1">[1]NCO!$A:$B,[1]NCO!$1:$7</definedName>
    <definedName name="Z_87743AA5_80A6_11D3_8889_0000832DEAF9_.wvu.PrintTitles" hidden="1">[1]NCO!$A:$B,[1]NCO!$1:$7</definedName>
  </definedNames>
  <calcPr calcId="191029" calcMode="autoNoTable" iterate="1"/>
  <fileRecoveryPr repairLoad="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23" l="1"/>
  <c r="H24" i="23"/>
  <c r="D8" i="23"/>
  <c r="C18" i="23"/>
  <c r="C19" i="23" l="1"/>
  <c r="B61" i="23"/>
  <c r="B60" i="23"/>
  <c r="B53" i="23"/>
  <c r="C52" i="23"/>
  <c r="B52" i="23"/>
  <c r="B50" i="23"/>
  <c r="B58" i="23" s="1"/>
  <c r="C42" i="23"/>
  <c r="C50" i="23" s="1"/>
  <c r="C58" i="23" s="1"/>
  <c r="C24" i="23"/>
  <c r="C36" i="23" l="1"/>
  <c r="C37" i="23" s="1"/>
  <c r="C26" i="23" s="1"/>
  <c r="C23" i="23"/>
  <c r="C25" i="23" s="1"/>
  <c r="C20" i="23"/>
  <c r="B20" i="23"/>
  <c r="B21" i="23"/>
  <c r="B43" i="23" s="1"/>
  <c r="B51" i="23" s="1"/>
  <c r="B59" i="23" s="1"/>
  <c r="C27" i="23" l="1"/>
  <c r="F18" i="23"/>
  <c r="F19" i="23"/>
  <c r="F20" i="23"/>
  <c r="G20" i="23"/>
  <c r="C30" i="23"/>
  <c r="C31" i="23"/>
  <c r="C32" i="23"/>
  <c r="C33" i="23"/>
  <c r="C38" i="23"/>
  <c r="D42" i="23"/>
  <c r="C43" i="23"/>
  <c r="D43" i="23"/>
  <c r="D44" i="23"/>
  <c r="D45" i="23"/>
  <c r="C46" i="23"/>
  <c r="D46" i="23"/>
  <c r="D50" i="23"/>
  <c r="C51" i="23"/>
  <c r="D51" i="23"/>
  <c r="D52" i="23"/>
  <c r="C53" i="23"/>
  <c r="D53" i="23"/>
  <c r="C54" i="23"/>
  <c r="D54" i="23"/>
  <c r="D58" i="23"/>
  <c r="C59" i="23"/>
  <c r="D59" i="23"/>
  <c r="C60" i="23"/>
  <c r="D60" i="23"/>
  <c r="C61" i="23"/>
  <c r="D61" i="23"/>
  <c r="C62" i="23"/>
  <c r="D6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Alexander Jarvis - Perfect Pitch Deck</author>
  </authors>
  <commentList>
    <comment ref="B21" authorId="0" shapeId="0" xr:uid="{1BF24A82-69B6-4351-BFCE-7F3495419579}">
      <text>
        <r>
          <rPr>
            <b/>
            <sz val="9"/>
            <color indexed="81"/>
            <rFont val="Tahoma"/>
            <family val="2"/>
          </rPr>
          <t>Alexander Jarvis - Perfect Pitch Deck:</t>
        </r>
        <r>
          <rPr>
            <sz val="9"/>
            <color indexed="81"/>
            <rFont val="Tahoma"/>
            <family val="2"/>
          </rPr>
          <t xml:space="preserve">
Don't touch</t>
        </r>
      </text>
    </comment>
  </commentList>
</comments>
</file>

<file path=xl/sharedStrings.xml><?xml version="1.0" encoding="utf-8"?>
<sst xmlns="http://schemas.openxmlformats.org/spreadsheetml/2006/main" count="75" uniqueCount="63">
  <si>
    <t>Shares</t>
  </si>
  <si>
    <t>% Ownership</t>
  </si>
  <si>
    <t>Founders</t>
  </si>
  <si>
    <t>Price per share</t>
  </si>
  <si>
    <t>S-A</t>
  </si>
  <si>
    <t>Series-A Pre-Money Valuation</t>
  </si>
  <si>
    <t>Series-A Post-Money Valuation</t>
  </si>
  <si>
    <t>Series A Investment</t>
  </si>
  <si>
    <t>Assumptions</t>
  </si>
  <si>
    <t>ESOP</t>
  </si>
  <si>
    <t>Effective pre-money valuation</t>
  </si>
  <si>
    <t>Note</t>
  </si>
  <si>
    <t>Pre-money calculation</t>
  </si>
  <si>
    <t>Pre funding pool</t>
  </si>
  <si>
    <t>Post funding pool</t>
  </si>
  <si>
    <t>Shares Outstanding (Pre-Investment and pre ESOP)</t>
  </si>
  <si>
    <t>Notes</t>
  </si>
  <si>
    <t>Assumption</t>
  </si>
  <si>
    <t>How much the S-A investors are investing in total</t>
  </si>
  <si>
    <t>What the pre valuation the investors agree to</t>
  </si>
  <si>
    <t>How big an ESOP plan are investors asking for POST investment?</t>
  </si>
  <si>
    <t>Discount or cap?</t>
  </si>
  <si>
    <t>Series - A</t>
  </si>
  <si>
    <t>Pre-money valuation</t>
  </si>
  <si>
    <t>Post-money</t>
  </si>
  <si>
    <t>S-A Investment</t>
  </si>
  <si>
    <t>Impact</t>
  </si>
  <si>
    <t>Discount</t>
  </si>
  <si>
    <t>Cap</t>
  </si>
  <si>
    <t>Less: ESOP</t>
  </si>
  <si>
    <t>Total</t>
  </si>
  <si>
    <t>Investment Value</t>
  </si>
  <si>
    <t>Pool</t>
  </si>
  <si>
    <t>This is premoney + investment</t>
  </si>
  <si>
    <t>Shareholders</t>
  </si>
  <si>
    <t>As agreed with SAFE investors</t>
  </si>
  <si>
    <t>Cap for SAFE Notes</t>
  </si>
  <si>
    <t>SAFE with discount</t>
  </si>
  <si>
    <t>SAFE with cap</t>
  </si>
  <si>
    <t>Pre-Series A</t>
  </si>
  <si>
    <t>Post-Series A</t>
  </si>
  <si>
    <t>Post SAFE</t>
  </si>
  <si>
    <t>As SAFE is post-money, the shares are included in the share calculation</t>
  </si>
  <si>
    <t>Diluted by the SAFE</t>
  </si>
  <si>
    <t>SAFE diluted by new ESOP issued in the S-A round</t>
  </si>
  <si>
    <t>ESOP is created before the S-A and after SAFE</t>
  </si>
  <si>
    <t>SAFE diluted by new SAFE and the S-A investment</t>
  </si>
  <si>
    <t>Discount Rate for Conversion of SAFE</t>
  </si>
  <si>
    <t>New ESOP</t>
  </si>
  <si>
    <t>Post money</t>
  </si>
  <si>
    <t>ESOP Calcs</t>
  </si>
  <si>
    <t>Dollar value of new ESOP created</t>
  </si>
  <si>
    <t>New ESOP shares created</t>
  </si>
  <si>
    <t>Note: Can also calculate this way</t>
  </si>
  <si>
    <t>This is the smart way to calculate ESOP without making a circular reference</t>
  </si>
  <si>
    <t>We take the % you want post the round and multiply by post money</t>
  </si>
  <si>
    <t>You can backward calculate by adding 10% x Total, but makes iterative calculation</t>
  </si>
  <si>
    <t>Ownership Calculations</t>
  </si>
  <si>
    <t>Simple Post-Money SAFE Example</t>
  </si>
  <si>
    <t>Post SAFE investment</t>
  </si>
  <si>
    <t>How much was invested in the SAFE?</t>
  </si>
  <si>
    <t>As agreed with SAFE investors. Needs to be larger than the SAFE investment!</t>
  </si>
  <si>
    <t>Assume you do not have an ESOP yet! This is basically founder and staff shares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</si>
</sst>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RM&quot;#,##0.00_);[Red]\(&quot;RM&quot;#,##0.00\)"/>
    <numFmt numFmtId="165" formatCode="_(* #,##0_);_(* \(#,##0\);_(* &quot;-&quot;??_);_(@_)"/>
    <numFmt numFmtId="166" formatCode="0.0%"/>
    <numFmt numFmtId="167" formatCode="yyyy"/>
    <numFmt numFmtId="168" formatCode="#.#&quot;x&quot;"/>
    <numFmt numFmtId="169" formatCode="#,##0.00%_);\(#,##0.00%\);0.00%_);@_%_)"/>
    <numFmt numFmtId="170" formatCode="#,##0%_);\(#,##0%\);0%_);@_%_)"/>
    <numFmt numFmtId="171" formatCode="0.0"/>
    <numFmt numFmtId="172" formatCode="#.0#&quot;x&quot;"/>
    <numFmt numFmtId="173" formatCode="_([$$]#,##0_)_%;\([$$]#,##0\)_%;_(&quot;-&quot;_)_%;_(@_)_%"/>
    <numFmt numFmtId="174" formatCode="_([$$]#,##0.0000_)_%;\([$$]#,##0.0000\)_%;_(&quot;-&quot;_)_%;_(@_)_%"/>
    <numFmt numFmtId="175" formatCode="_(#,##0_)_%;\(#,##0\)_%;_(&quot;–&quot;_)_%;_(@_)_%"/>
    <numFmt numFmtId="176" formatCode="_(#,##0.0%_);\(#,##0.0%\);_(&quot;–&quot;_)_%;_(@_)_%"/>
    <numFmt numFmtId="177" formatCode="_(#,##0.000%_);\(#,##0.000%\);_(&quot;–&quot;_)_%;_(@_)_%"/>
  </numFmts>
  <fonts count="43">
    <font>
      <sz val="12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rgb="FFFFFFFF"/>
      <name val="Century Gothic"/>
      <family val="2"/>
      <scheme val="minor"/>
    </font>
    <font>
      <b/>
      <sz val="12"/>
      <color rgb="FFFFFFFF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2"/>
      <color rgb="FF000000"/>
      <name val="Century Gothic"/>
      <family val="2"/>
      <scheme val="minor"/>
    </font>
    <font>
      <i/>
      <sz val="12"/>
      <color theme="1"/>
      <name val="Century Gothic"/>
      <family val="2"/>
      <scheme val="minor"/>
    </font>
    <font>
      <b/>
      <i/>
      <sz val="12"/>
      <color theme="1"/>
      <name val="Century Gothic"/>
      <family val="2"/>
      <scheme val="minor"/>
    </font>
    <font>
      <sz val="8"/>
      <name val="Palatino"/>
      <family val="1"/>
    </font>
    <font>
      <sz val="10"/>
      <name val="Times New Roman"/>
      <family val="1"/>
    </font>
    <font>
      <sz val="14"/>
      <color rgb="FFFFFFFF"/>
      <name val="Century Gothic"/>
      <family val="2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3"/>
      <name val="Century Gothic"/>
      <family val="2"/>
      <scheme val="maj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0"/>
      <name val="Arial"/>
      <family val="2"/>
    </font>
    <font>
      <sz val="12"/>
      <color rgb="FF0000FF"/>
      <name val="Century Gothic"/>
      <family val="2"/>
      <scheme val="minor"/>
    </font>
    <font>
      <i/>
      <sz val="12"/>
      <color rgb="FF000000"/>
      <name val="Century Gothic"/>
      <family val="2"/>
      <scheme val="minor"/>
    </font>
    <font>
      <sz val="10"/>
      <color theme="1"/>
      <name val="Century Gothic"/>
      <family val="2"/>
      <scheme val="minor"/>
    </font>
    <font>
      <u/>
      <sz val="10"/>
      <color theme="10"/>
      <name val="Arial"/>
      <family val="2"/>
    </font>
    <font>
      <sz val="12"/>
      <color theme="0" tint="-0.14999847407452621"/>
      <name val="Century Gothic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0F243E"/>
        <bgColor rgb="FF000000"/>
      </patternFill>
    </fill>
    <fill>
      <patternFill patternType="solid">
        <fgColor rgb="FF16365C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theme="3" tint="0.39994506668294322"/>
      </bottom>
      <diagonal/>
    </border>
    <border>
      <left/>
      <right/>
      <top/>
      <bottom style="thin">
        <color indexed="63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</borders>
  <cellStyleXfs count="59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9" fontId="13" fillId="0" borderId="0" applyFont="0" applyFill="0" applyBorder="0" applyAlignment="0" applyProtection="0"/>
    <xf numFmtId="0" fontId="14" fillId="0" borderId="0" applyFont="0" applyFill="0" applyBorder="0" applyAlignment="0" applyProtection="0"/>
    <xf numFmtId="170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44" fontId="4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12" applyNumberFormat="0" applyFill="0" applyAlignment="0" applyProtection="0"/>
    <xf numFmtId="0" fontId="35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5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5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5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5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5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7" fillId="0" borderId="0"/>
    <xf numFmtId="0" fontId="37" fillId="2" borderId="1" applyNumberFormat="0" applyFont="0" applyAlignment="0" applyProtection="0"/>
    <xf numFmtId="0" fontId="2" fillId="0" borderId="0"/>
    <xf numFmtId="0" fontId="41" fillId="0" borderId="0" applyNumberFormat="0" applyFill="0" applyBorder="0" applyAlignment="0" applyProtection="0"/>
    <xf numFmtId="0" fontId="1" fillId="0" borderId="0"/>
  </cellStyleXfs>
  <cellXfs count="40">
    <xf numFmtId="0" fontId="0" fillId="0" borderId="0" xfId="0"/>
    <xf numFmtId="0" fontId="0" fillId="0" borderId="0" xfId="0" applyFont="1"/>
    <xf numFmtId="165" fontId="0" fillId="0" borderId="0" xfId="0" applyNumberFormat="1"/>
    <xf numFmtId="43" fontId="0" fillId="0" borderId="0" xfId="0" applyNumberFormat="1"/>
    <xf numFmtId="0" fontId="7" fillId="3" borderId="0" xfId="0" applyFont="1" applyFill="1"/>
    <xf numFmtId="0" fontId="8" fillId="4" borderId="2" xfId="0" applyFont="1" applyFill="1" applyBorder="1" applyAlignment="1">
      <alignment horizontal="centerContinuous" vertical="center"/>
    </xf>
    <xf numFmtId="167" fontId="9" fillId="5" borderId="3" xfId="0" applyNumberFormat="1" applyFont="1" applyFill="1" applyBorder="1" applyAlignment="1">
      <alignment horizontal="right"/>
    </xf>
    <xf numFmtId="167" fontId="9" fillId="5" borderId="3" xfId="0" applyNumberFormat="1" applyFont="1" applyFill="1" applyBorder="1" applyAlignment="1">
      <alignment horizontal="left"/>
    </xf>
    <xf numFmtId="0" fontId="10" fillId="6" borderId="4" xfId="0" applyFont="1" applyFill="1" applyBorder="1" applyAlignment="1">
      <alignment horizontal="centerContinuous"/>
    </xf>
    <xf numFmtId="166" fontId="0" fillId="0" borderId="0" xfId="2" applyNumberFormat="1" applyFont="1"/>
    <xf numFmtId="0" fontId="6" fillId="0" borderId="0" xfId="0" applyFont="1"/>
    <xf numFmtId="165" fontId="6" fillId="0" borderId="0" xfId="1" applyNumberFormat="1" applyFont="1"/>
    <xf numFmtId="166" fontId="0" fillId="0" borderId="0" xfId="0" applyNumberFormat="1"/>
    <xf numFmtId="0" fontId="11" fillId="0" borderId="0" xfId="0" applyFont="1"/>
    <xf numFmtId="164" fontId="0" fillId="0" borderId="0" xfId="0" applyNumberFormat="1"/>
    <xf numFmtId="168" fontId="11" fillId="0" borderId="0" xfId="0" applyNumberFormat="1" applyFont="1" applyAlignment="1">
      <alignment horizontal="right"/>
    </xf>
    <xf numFmtId="0" fontId="12" fillId="0" borderId="0" xfId="0" applyFont="1"/>
    <xf numFmtId="167" fontId="9" fillId="5" borderId="3" xfId="0" applyNumberFormat="1" applyFont="1" applyFill="1" applyBorder="1" applyAlignment="1">
      <alignment horizontal="center"/>
    </xf>
    <xf numFmtId="0" fontId="0" fillId="0" borderId="0" xfId="0" applyFill="1"/>
    <xf numFmtId="0" fontId="10" fillId="6" borderId="4" xfId="0" applyFont="1" applyFill="1" applyBorder="1" applyAlignment="1">
      <alignment horizontal="left"/>
    </xf>
    <xf numFmtId="0" fontId="15" fillId="3" borderId="0" xfId="0" applyFont="1" applyFill="1"/>
    <xf numFmtId="0" fontId="0" fillId="0" borderId="0" xfId="0" applyFill="1" applyAlignment="1">
      <alignment horizontal="center"/>
    </xf>
    <xf numFmtId="172" fontId="0" fillId="0" borderId="0" xfId="0" applyNumberFormat="1" applyAlignment="1">
      <alignment horizontal="center"/>
    </xf>
    <xf numFmtId="4" fontId="0" fillId="0" borderId="0" xfId="0" applyNumberFormat="1"/>
    <xf numFmtId="43" fontId="0" fillId="0" borderId="0" xfId="0" applyNumberFormat="1"/>
    <xf numFmtId="173" fontId="36" fillId="0" borderId="0" xfId="0" applyNumberFormat="1" applyFont="1" applyBorder="1" applyAlignment="1" applyProtection="1">
      <protection locked="0"/>
    </xf>
    <xf numFmtId="174" fontId="36" fillId="0" borderId="0" xfId="0" applyNumberFormat="1" applyFont="1" applyBorder="1" applyAlignment="1" applyProtection="1">
      <protection locked="0"/>
    </xf>
    <xf numFmtId="175" fontId="36" fillId="37" borderId="0" xfId="54" applyNumberFormat="1" applyFont="1" applyFill="1" applyBorder="1" applyProtection="1">
      <protection locked="0"/>
    </xf>
    <xf numFmtId="175" fontId="10" fillId="37" borderId="0" xfId="54" applyNumberFormat="1" applyFont="1" applyFill="1" applyBorder="1" applyProtection="1">
      <protection locked="0"/>
    </xf>
    <xf numFmtId="173" fontId="38" fillId="2" borderId="1" xfId="55" applyNumberFormat="1" applyFont="1" applyAlignment="1" applyProtection="1">
      <alignment horizontal="center" vertical="center"/>
      <protection locked="0"/>
    </xf>
    <xf numFmtId="175" fontId="38" fillId="2" borderId="1" xfId="55" applyNumberFormat="1" applyFont="1" applyAlignment="1" applyProtection="1">
      <alignment horizontal="center" vertical="center"/>
      <protection locked="0"/>
    </xf>
    <xf numFmtId="176" fontId="38" fillId="2" borderId="1" xfId="55" applyNumberFormat="1" applyFont="1" applyAlignment="1" applyProtection="1">
      <alignment horizontal="center" vertical="center"/>
      <protection locked="0"/>
    </xf>
    <xf numFmtId="173" fontId="4" fillId="0" borderId="0" xfId="1" applyNumberFormat="1" applyFont="1" applyProtection="1">
      <protection locked="0"/>
    </xf>
    <xf numFmtId="173" fontId="6" fillId="0" borderId="0" xfId="1" applyNumberFormat="1" applyFont="1" applyProtection="1">
      <protection locked="0"/>
    </xf>
    <xf numFmtId="177" fontId="0" fillId="0" borderId="0" xfId="0" applyNumberFormat="1" applyFont="1" applyProtection="1">
      <protection locked="0"/>
    </xf>
    <xf numFmtId="177" fontId="6" fillId="0" borderId="0" xfId="0" applyNumberFormat="1" applyFont="1" applyProtection="1">
      <protection locked="0"/>
    </xf>
    <xf numFmtId="174" fontId="39" fillId="0" borderId="0" xfId="0" applyNumberFormat="1" applyFont="1" applyBorder="1" applyAlignment="1" applyProtection="1">
      <protection locked="0"/>
    </xf>
    <xf numFmtId="0" fontId="40" fillId="38" borderId="13" xfId="0" applyFont="1" applyFill="1" applyBorder="1" applyAlignment="1" applyProtection="1">
      <alignment horizontal="left" vertical="center"/>
      <protection locked="0"/>
    </xf>
    <xf numFmtId="0" fontId="42" fillId="0" borderId="0" xfId="0" applyFont="1" applyAlignment="1">
      <alignment horizontal="left"/>
    </xf>
    <xf numFmtId="0" fontId="0" fillId="0" borderId="0" xfId="0" applyNumberFormat="1"/>
  </cellXfs>
  <cellStyles count="59">
    <cellStyle name="20% - הדגשה1" xfId="31" builtinId="30" hidden="1"/>
    <cellStyle name="20% - הדגשה2" xfId="35" builtinId="34" hidden="1"/>
    <cellStyle name="20% - הדגשה3" xfId="39" builtinId="38" hidden="1"/>
    <cellStyle name="20% - הדגשה4" xfId="43" builtinId="42" hidden="1"/>
    <cellStyle name="20% - הדגשה5" xfId="47" builtinId="46" hidden="1"/>
    <cellStyle name="20% - הדגשה6" xfId="51" builtinId="50" hidden="1"/>
    <cellStyle name="40% - הדגשה1" xfId="32" builtinId="31" hidden="1"/>
    <cellStyle name="40% - הדגשה2" xfId="36" builtinId="35" hidden="1"/>
    <cellStyle name="40% - הדגשה3" xfId="40" builtinId="39" hidden="1"/>
    <cellStyle name="40% - הדגשה4" xfId="44" builtinId="43" hidden="1"/>
    <cellStyle name="40% - הדגשה5" xfId="48" builtinId="47" hidden="1"/>
    <cellStyle name="40% - הדגשה6" xfId="52" builtinId="51" hidden="1"/>
    <cellStyle name="60% - הדגשה1" xfId="33" builtinId="32" hidden="1"/>
    <cellStyle name="60% - הדגשה2" xfId="37" builtinId="36" hidden="1"/>
    <cellStyle name="60% - הדגשה3" xfId="41" builtinId="40" hidden="1"/>
    <cellStyle name="60% - הדגשה4" xfId="45" builtinId="44" hidden="1"/>
    <cellStyle name="60% - הדגשה5" xfId="49" builtinId="48" hidden="1"/>
    <cellStyle name="60% - הדגשה6" xfId="53" builtinId="52" hidden="1"/>
    <cellStyle name="Comma" xfId="1" builtinId="3"/>
    <cellStyle name="Comma*" xfId="3" xr:uid="{00000000-0005-0000-0000-00000B000000}"/>
    <cellStyle name="Currency" xfId="13" builtinId="4" hidden="1"/>
    <cellStyle name="Currency  " xfId="4" xr:uid="{00000000-0005-0000-0000-00000C000000}"/>
    <cellStyle name="Currency*" xfId="5" xr:uid="{00000000-0005-0000-0000-000010000000}"/>
    <cellStyle name="Hyperlink 2" xfId="57" xr:uid="{4FD950BB-745D-4B57-8189-4F1012BB80AC}"/>
    <cellStyle name="Normal" xfId="0" builtinId="0"/>
    <cellStyle name="Normal 2 2" xfId="54" xr:uid="{1C40D8B0-0117-4B57-88AB-909523B169E5}"/>
    <cellStyle name="Normal 6 2" xfId="56" xr:uid="{70D9DCC8-1668-4ACB-8302-BD1899F9AB96}"/>
    <cellStyle name="Normal 6 2 2" xfId="58" xr:uid="{E5C15FD6-891E-4C10-982E-F9E34D62EF58}"/>
    <cellStyle name="Note 7" xfId="55" xr:uid="{B9431F80-28C6-4752-976C-E7EFB6B13B0B}"/>
    <cellStyle name="Percent" xfId="2" builtinId="5"/>
    <cellStyle name="Percent*" xfId="6" xr:uid="{00000000-0005-0000-0000-000037000000}"/>
    <cellStyle name="הדגשה1" xfId="30" builtinId="29" hidden="1"/>
    <cellStyle name="הדגשה2" xfId="34" builtinId="33" hidden="1"/>
    <cellStyle name="הדגשה3" xfId="38" builtinId="37" hidden="1"/>
    <cellStyle name="הדגשה4" xfId="42" builtinId="41" hidden="1"/>
    <cellStyle name="הדגשה5" xfId="46" builtinId="45" hidden="1"/>
    <cellStyle name="הדגשה6" xfId="50" builtinId="49" hidden="1"/>
    <cellStyle name="היפר-קישור" xfId="7" builtinId="8" hidden="1"/>
    <cellStyle name="היפר-קישור" xfId="9" builtinId="8" hidden="1"/>
    <cellStyle name="היפר-קישור" xfId="11" builtinId="8" hidden="1"/>
    <cellStyle name="היפר-קישור שהופעל" xfId="8" builtinId="9" hidden="1"/>
    <cellStyle name="היפר-קישור שהופעל" xfId="10" builtinId="9" hidden="1"/>
    <cellStyle name="היפר-קישור שהופעל" xfId="12" builtinId="9" hidden="1"/>
    <cellStyle name="חישוב" xfId="24" builtinId="22" hidden="1"/>
    <cellStyle name="טוב" xfId="19" builtinId="26" hidden="1"/>
    <cellStyle name="טקסט אזהרה" xfId="27" builtinId="11" hidden="1"/>
    <cellStyle name="טקסט הסברי" xfId="28" builtinId="53" hidden="1"/>
    <cellStyle name="כותרת" xfId="14" builtinId="15" hidden="1"/>
    <cellStyle name="כותרת 1" xfId="15" builtinId="16" hidden="1"/>
    <cellStyle name="כותרת 2" xfId="16" builtinId="17" hidden="1"/>
    <cellStyle name="כותרת 3" xfId="17" builtinId="18" hidden="1"/>
    <cellStyle name="כותרת 4" xfId="18" builtinId="19" hidden="1"/>
    <cellStyle name="ניטראלי" xfId="21" builtinId="28" hidden="1"/>
    <cellStyle name="סה&quot;כ" xfId="29" builtinId="25" hidden="1"/>
    <cellStyle name="פלט" xfId="23" builtinId="21" hidden="1"/>
    <cellStyle name="קלט" xfId="22" builtinId="20" hidden="1"/>
    <cellStyle name="רע" xfId="20" builtinId="27" hidden="1"/>
    <cellStyle name="תא מסומן" xfId="26" builtinId="23" hidden="1"/>
    <cellStyle name="תא מקושר" xfId="25" builtinId="24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anderjarvis/Documents/NYCNW-INB001/EDOCS/BUDGETS-Aerospace/Flash/2006/Monthly%20Flash/Comm%20Aero%20flash_2006to20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C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15A13-AFF1-49B9-9DE3-FFBD683FDF15}">
  <sheetPr codeName="Sheet2"/>
  <dimension ref="A1:I71"/>
  <sheetViews>
    <sheetView showGridLines="0" tabSelected="1" zoomScale="70" zoomScaleNormal="70" workbookViewId="0">
      <selection activeCell="D9" sqref="D9"/>
    </sheetView>
  </sheetViews>
  <sheetFormatPr defaultColWidth="0" defaultRowHeight="17.25" customHeight="1" zeroHeight="1"/>
  <cols>
    <col min="1" max="1" width="2.453125" customWidth="1"/>
    <col min="2" max="2" width="48.54296875" customWidth="1"/>
    <col min="3" max="3" width="18.453125" customWidth="1"/>
    <col min="4" max="4" width="18.54296875" customWidth="1"/>
    <col min="5" max="5" width="18.90625" customWidth="1"/>
    <col min="6" max="6" width="35.90625" customWidth="1"/>
    <col min="7" max="7" width="19.6328125" customWidth="1"/>
    <col min="8" max="8" width="19.453125" customWidth="1"/>
    <col min="9" max="9" width="2.54296875" customWidth="1"/>
  </cols>
  <sheetData>
    <row r="1" spans="1:9" s="37" customFormat="1" ht="5.25" customHeight="1"/>
    <row r="2" spans="1:9" ht="16.8">
      <c r="A2" s="4"/>
      <c r="B2" s="20" t="s">
        <v>58</v>
      </c>
      <c r="C2" s="4"/>
      <c r="D2" s="4"/>
      <c r="E2" s="4"/>
      <c r="F2" s="4"/>
      <c r="G2" s="4"/>
      <c r="H2" s="4"/>
      <c r="I2" s="4"/>
    </row>
    <row r="3" spans="1:9" ht="15"/>
    <row r="4" spans="1:9" ht="15">
      <c r="B4" s="5" t="s">
        <v>8</v>
      </c>
      <c r="C4" s="5"/>
      <c r="D4" s="5"/>
      <c r="E4" s="5"/>
      <c r="F4" s="5"/>
      <c r="G4" s="5"/>
      <c r="H4" s="5"/>
    </row>
    <row r="5" spans="1:9" ht="15">
      <c r="B5" s="6"/>
      <c r="C5" s="6"/>
      <c r="D5" s="6" t="s">
        <v>17</v>
      </c>
      <c r="E5" s="6" t="s">
        <v>16</v>
      </c>
      <c r="F5" s="6"/>
      <c r="G5" s="6"/>
      <c r="H5" s="6"/>
    </row>
    <row r="6" spans="1:9" ht="15">
      <c r="B6" s="1" t="s">
        <v>5</v>
      </c>
      <c r="D6" s="29">
        <f>5000000</f>
        <v>5000000</v>
      </c>
      <c r="E6" t="s">
        <v>19</v>
      </c>
    </row>
    <row r="7" spans="1:9" ht="15">
      <c r="B7" s="1" t="s">
        <v>7</v>
      </c>
      <c r="D7" s="29">
        <v>4550000</v>
      </c>
      <c r="E7" t="s">
        <v>18</v>
      </c>
    </row>
    <row r="8" spans="1:9" ht="15">
      <c r="B8" s="1" t="s">
        <v>6</v>
      </c>
      <c r="D8" s="32">
        <f>SUM(D6:D7)</f>
        <v>9550000</v>
      </c>
      <c r="E8" t="s">
        <v>33</v>
      </c>
    </row>
    <row r="9" spans="1:9" ht="15">
      <c r="B9" s="1" t="s">
        <v>59</v>
      </c>
      <c r="D9" s="29">
        <v>450000</v>
      </c>
      <c r="E9" t="s">
        <v>60</v>
      </c>
    </row>
    <row r="10" spans="1:9" ht="15">
      <c r="B10" s="1" t="s">
        <v>47</v>
      </c>
      <c r="D10" s="31">
        <v>0.2</v>
      </c>
      <c r="E10" t="s">
        <v>35</v>
      </c>
    </row>
    <row r="11" spans="1:9" ht="15">
      <c r="B11" s="1" t="s">
        <v>36</v>
      </c>
      <c r="D11" s="29">
        <v>100000000000</v>
      </c>
      <c r="E11" s="18" t="s">
        <v>61</v>
      </c>
      <c r="G11" s="18"/>
    </row>
    <row r="12" spans="1:9" ht="15">
      <c r="B12" s="1" t="s">
        <v>15</v>
      </c>
      <c r="D12" s="30">
        <v>100000000</v>
      </c>
      <c r="E12" t="s">
        <v>62</v>
      </c>
    </row>
    <row r="13" spans="1:9" ht="15">
      <c r="B13" s="1" t="s">
        <v>48</v>
      </c>
      <c r="D13" s="31">
        <v>0</v>
      </c>
      <c r="E13" t="s">
        <v>20</v>
      </c>
    </row>
    <row r="14" spans="1:9" ht="15"/>
    <row r="15" spans="1:9" ht="15">
      <c r="B15" s="5" t="s">
        <v>57</v>
      </c>
      <c r="C15" s="5"/>
      <c r="D15" s="5"/>
      <c r="E15" s="5"/>
      <c r="F15" s="5"/>
      <c r="G15" s="5"/>
      <c r="H15" s="5"/>
    </row>
    <row r="16" spans="1:9" ht="15"/>
    <row r="17" spans="2:8" ht="15">
      <c r="B17" s="7" t="s">
        <v>21</v>
      </c>
      <c r="C17" s="6" t="s">
        <v>31</v>
      </c>
      <c r="E17" s="7" t="s">
        <v>9</v>
      </c>
      <c r="F17" s="6" t="s">
        <v>32</v>
      </c>
      <c r="G17" s="7" t="s">
        <v>11</v>
      </c>
    </row>
    <row r="18" spans="2:8" ht="15">
      <c r="B18" t="s">
        <v>27</v>
      </c>
      <c r="C18" s="32">
        <f>IF(D10=0,0,(D9*(1/(1-D10))))</f>
        <v>562500</v>
      </c>
      <c r="D18" s="3"/>
      <c r="E18" t="s">
        <v>13</v>
      </c>
      <c r="F18" s="9">
        <f ca="1">D53</f>
        <v>0</v>
      </c>
    </row>
    <row r="19" spans="2:8" ht="15">
      <c r="B19" t="s">
        <v>28</v>
      </c>
      <c r="C19" s="32">
        <f>IFERROR((D9/(D11/D6)),0)</f>
        <v>22.5</v>
      </c>
      <c r="D19" s="3"/>
      <c r="E19" t="s">
        <v>14</v>
      </c>
      <c r="F19" s="12">
        <f ca="1">D61</f>
        <v>0</v>
      </c>
      <c r="G19" s="14"/>
    </row>
    <row r="20" spans="2:8" ht="15">
      <c r="B20" s="10" t="str">
        <f>IF(C18=0,"A Cap is used",IF(C19=0,"A Discount is used",IF(C18&gt;C19,"A Discount is used","A Cap is used")))</f>
        <v>A Discount is used</v>
      </c>
      <c r="C20" s="33">
        <f>MAX(C18:C19)</f>
        <v>562500</v>
      </c>
      <c r="E20" s="13" t="s">
        <v>26</v>
      </c>
      <c r="F20" s="15" t="str">
        <f ca="1">IFERROR(F18/F19,"n/a")</f>
        <v>n/a</v>
      </c>
      <c r="G20" t="str">
        <f ca="1">IF(F19&gt;0,"To create a post pool is costly to founders!","")</f>
        <v/>
      </c>
    </row>
    <row r="21" spans="2:8" ht="15">
      <c r="B21" s="38">
        <f>IF(C18=0,1,IF(C19=0,2,IF(C18&gt;C19,2,1)))</f>
        <v>2</v>
      </c>
    </row>
    <row r="22" spans="2:8" ht="15">
      <c r="B22" s="7" t="s">
        <v>12</v>
      </c>
      <c r="C22" s="6" t="s">
        <v>31</v>
      </c>
    </row>
    <row r="23" spans="2:8" ht="15">
      <c r="B23" t="s">
        <v>24</v>
      </c>
      <c r="C23" s="32">
        <f>D8</f>
        <v>9550000</v>
      </c>
    </row>
    <row r="24" spans="2:8" ht="15">
      <c r="B24" t="s">
        <v>25</v>
      </c>
      <c r="C24" s="32">
        <f>-D7</f>
        <v>-4550000</v>
      </c>
      <c r="F24" s="22"/>
      <c r="H24">
        <f>20000/0.625</f>
        <v>32000</v>
      </c>
    </row>
    <row r="25" spans="2:8" ht="15">
      <c r="B25" s="10" t="s">
        <v>23</v>
      </c>
      <c r="C25" s="33">
        <f>SUM(C23:C24)</f>
        <v>5000000</v>
      </c>
      <c r="F25" s="21"/>
      <c r="G25" s="39"/>
    </row>
    <row r="26" spans="2:8" ht="15">
      <c r="B26" s="13" t="s">
        <v>29</v>
      </c>
      <c r="C26" s="32">
        <f>-C37</f>
        <v>0</v>
      </c>
    </row>
    <row r="27" spans="2:8" ht="15">
      <c r="B27" s="16" t="s">
        <v>10</v>
      </c>
      <c r="C27" s="33">
        <f>C25+C26</f>
        <v>5000000</v>
      </c>
    </row>
    <row r="28" spans="2:8" ht="15">
      <c r="C28" s="11"/>
    </row>
    <row r="29" spans="2:8" ht="15">
      <c r="B29" s="7" t="s">
        <v>3</v>
      </c>
      <c r="C29" s="6"/>
      <c r="D29" s="24"/>
      <c r="E29" s="24"/>
      <c r="F29" s="24"/>
    </row>
    <row r="30" spans="2:8" ht="15">
      <c r="B30" t="s">
        <v>4</v>
      </c>
      <c r="C30" s="26">
        <f ca="1">C27/C46</f>
        <v>4.4375000000000005E-2</v>
      </c>
      <c r="E30" s="3"/>
      <c r="F30" s="3"/>
      <c r="G30" s="2"/>
      <c r="H30" s="3"/>
    </row>
    <row r="31" spans="2:8" ht="15">
      <c r="B31" s="13" t="s">
        <v>53</v>
      </c>
      <c r="C31" s="36">
        <f ca="1">C25/C54</f>
        <v>4.4375000000000005E-2</v>
      </c>
      <c r="D31" s="26"/>
      <c r="E31" s="3"/>
      <c r="F31" s="3"/>
      <c r="G31" s="2"/>
      <c r="H31" s="3"/>
    </row>
    <row r="32" spans="2:8" ht="15">
      <c r="B32" s="1" t="s">
        <v>37</v>
      </c>
      <c r="C32" s="26">
        <f ca="1">IF(D10=0,0,(C30*(1-D10)))</f>
        <v>3.5500000000000004E-2</v>
      </c>
    </row>
    <row r="33" spans="2:8" ht="15">
      <c r="B33" s="1" t="s">
        <v>38</v>
      </c>
      <c r="C33" s="26">
        <f ca="1">IF(D11=0,0,(C25/C46)*(D11/D6))</f>
        <v>887.50000000000011</v>
      </c>
      <c r="D33" s="3"/>
      <c r="E33" s="3"/>
      <c r="F33" s="3"/>
      <c r="G33" s="2"/>
      <c r="H33" s="3"/>
    </row>
    <row r="34" spans="2:8" ht="15">
      <c r="H34" s="23"/>
    </row>
    <row r="35" spans="2:8" ht="15">
      <c r="B35" s="7" t="s">
        <v>50</v>
      </c>
      <c r="C35" s="6"/>
      <c r="D35" s="6" t="s">
        <v>11</v>
      </c>
      <c r="E35" s="6"/>
      <c r="F35" s="6"/>
      <c r="G35" s="6"/>
      <c r="H35" s="6"/>
    </row>
    <row r="36" spans="2:8" ht="15">
      <c r="B36" t="s">
        <v>49</v>
      </c>
      <c r="C36" s="25">
        <f>D8</f>
        <v>9550000</v>
      </c>
    </row>
    <row r="37" spans="2:8" ht="15">
      <c r="B37" t="s">
        <v>51</v>
      </c>
      <c r="C37" s="25">
        <f>C36*D13</f>
        <v>0</v>
      </c>
      <c r="D37" t="s">
        <v>55</v>
      </c>
    </row>
    <row r="38" spans="2:8" ht="15">
      <c r="B38" t="s">
        <v>52</v>
      </c>
      <c r="C38" s="27">
        <f ca="1">C37/C30</f>
        <v>0</v>
      </c>
      <c r="D38" t="s">
        <v>54</v>
      </c>
    </row>
    <row r="39" spans="2:8" ht="15"/>
    <row r="40" spans="2:8" ht="15">
      <c r="B40" s="19" t="s">
        <v>34</v>
      </c>
      <c r="C40" s="8" t="s">
        <v>41</v>
      </c>
      <c r="D40" s="8"/>
      <c r="E40" s="8"/>
      <c r="F40" s="8"/>
      <c r="G40" s="8"/>
      <c r="H40" s="8"/>
    </row>
    <row r="41" spans="2:8" ht="15">
      <c r="B41" s="7"/>
      <c r="C41" s="17" t="s">
        <v>0</v>
      </c>
      <c r="D41" s="17" t="s">
        <v>1</v>
      </c>
      <c r="E41" s="7" t="s">
        <v>11</v>
      </c>
      <c r="F41" s="7"/>
      <c r="G41" s="7"/>
      <c r="H41" s="7"/>
    </row>
    <row r="42" spans="2:8" ht="15">
      <c r="B42" s="1" t="s">
        <v>2</v>
      </c>
      <c r="C42" s="27">
        <f>D12</f>
        <v>100000000</v>
      </c>
      <c r="D42" s="34">
        <f ca="1">C42/$C$46</f>
        <v>0.88750000000000007</v>
      </c>
      <c r="E42" t="s">
        <v>43</v>
      </c>
    </row>
    <row r="43" spans="2:8" ht="15">
      <c r="B43" s="1" t="str">
        <f>"SAFE with a "&amp;CHOOSE(B21,"Cap","Discount")</f>
        <v>SAFE with a Discount</v>
      </c>
      <c r="C43" s="27">
        <f ca="1">CHOOSE(B21,D9/C33,D9/C32)</f>
        <v>12676056.338028168</v>
      </c>
      <c r="D43" s="34">
        <f ca="1">C43/$C$46</f>
        <v>0.1125</v>
      </c>
      <c r="E43" t="s">
        <v>42</v>
      </c>
    </row>
    <row r="44" spans="2:8" ht="15">
      <c r="B44" s="1" t="s">
        <v>22</v>
      </c>
      <c r="C44" s="27">
        <v>0</v>
      </c>
      <c r="D44" s="34">
        <f ca="1">C44/$C$46</f>
        <v>0</v>
      </c>
    </row>
    <row r="45" spans="2:8" ht="15">
      <c r="B45" s="1" t="s">
        <v>9</v>
      </c>
      <c r="C45" s="27">
        <v>0</v>
      </c>
      <c r="D45" s="34">
        <f ca="1">C45/$C$46</f>
        <v>0</v>
      </c>
    </row>
    <row r="46" spans="2:8" ht="15">
      <c r="B46" s="10" t="s">
        <v>30</v>
      </c>
      <c r="C46" s="28">
        <f ca="1">SUM(C42:C45)</f>
        <v>112676056.33802816</v>
      </c>
      <c r="D46" s="35">
        <f ca="1">SUM(D42:D45)</f>
        <v>1</v>
      </c>
    </row>
    <row r="47" spans="2:8" ht="15"/>
    <row r="48" spans="2:8" ht="15">
      <c r="B48" s="19" t="s">
        <v>34</v>
      </c>
      <c r="C48" s="8" t="s">
        <v>39</v>
      </c>
      <c r="D48" s="8"/>
      <c r="E48" s="8"/>
      <c r="F48" s="8"/>
      <c r="G48" s="8"/>
      <c r="H48" s="8"/>
    </row>
    <row r="49" spans="2:8" ht="15">
      <c r="B49" s="7"/>
      <c r="C49" s="17"/>
      <c r="D49" s="17"/>
      <c r="E49" s="7" t="s">
        <v>11</v>
      </c>
      <c r="F49" s="7"/>
      <c r="G49" s="7"/>
      <c r="H49" s="7"/>
    </row>
    <row r="50" spans="2:8" ht="15">
      <c r="B50" s="1" t="str">
        <f t="shared" ref="B50:C52" si="0">B42</f>
        <v>Founders</v>
      </c>
      <c r="C50" s="27">
        <f t="shared" si="0"/>
        <v>100000000</v>
      </c>
      <c r="D50" s="34">
        <f ca="1">C50/$C$54</f>
        <v>0.88750000000000007</v>
      </c>
    </row>
    <row r="51" spans="2:8" ht="15">
      <c r="B51" s="1" t="str">
        <f t="shared" si="0"/>
        <v>SAFE with a Discount</v>
      </c>
      <c r="C51" s="27">
        <f t="shared" ca="1" si="0"/>
        <v>12676056.338028168</v>
      </c>
      <c r="D51" s="34">
        <f ca="1">C51/$C$54</f>
        <v>0.1125</v>
      </c>
      <c r="E51" t="s">
        <v>44</v>
      </c>
    </row>
    <row r="52" spans="2:8" ht="15">
      <c r="B52" s="1" t="str">
        <f t="shared" si="0"/>
        <v>Series - A</v>
      </c>
      <c r="C52" s="27">
        <f t="shared" si="0"/>
        <v>0</v>
      </c>
      <c r="D52" s="34">
        <f ca="1">C52/$C$54</f>
        <v>0</v>
      </c>
    </row>
    <row r="53" spans="2:8" ht="15">
      <c r="B53" s="1" t="str">
        <f>B45</f>
        <v>ESOP</v>
      </c>
      <c r="C53" s="27">
        <f ca="1">C38</f>
        <v>0</v>
      </c>
      <c r="D53" s="34">
        <f ca="1">C53/$C$54</f>
        <v>0</v>
      </c>
      <c r="E53" t="s">
        <v>45</v>
      </c>
    </row>
    <row r="54" spans="2:8" ht="15">
      <c r="B54" s="10" t="s">
        <v>30</v>
      </c>
      <c r="C54" s="28">
        <f ca="1">SUM(C50:C53)</f>
        <v>112676056.33802816</v>
      </c>
      <c r="D54" s="35">
        <f ca="1">SUM(D50:D53)</f>
        <v>1</v>
      </c>
    </row>
    <row r="55" spans="2:8" ht="15"/>
    <row r="56" spans="2:8" ht="15">
      <c r="B56" s="19" t="s">
        <v>34</v>
      </c>
      <c r="C56" s="8" t="s">
        <v>40</v>
      </c>
      <c r="D56" s="8"/>
      <c r="E56" s="8"/>
      <c r="F56" s="8"/>
      <c r="G56" s="8"/>
      <c r="H56" s="8"/>
    </row>
    <row r="57" spans="2:8" ht="15">
      <c r="B57" s="7"/>
      <c r="C57" s="17" t="s">
        <v>0</v>
      </c>
      <c r="D57" s="17" t="s">
        <v>1</v>
      </c>
      <c r="E57" s="7" t="s">
        <v>11</v>
      </c>
      <c r="F57" s="7"/>
      <c r="G57" s="7"/>
      <c r="H57" s="7"/>
    </row>
    <row r="58" spans="2:8" ht="15">
      <c r="B58" s="1" t="str">
        <f>B50</f>
        <v>Founders</v>
      </c>
      <c r="C58" s="27">
        <f>C50</f>
        <v>100000000</v>
      </c>
      <c r="D58" s="34">
        <f ca="1">C58/$C$62</f>
        <v>0.46465968586387435</v>
      </c>
    </row>
    <row r="59" spans="2:8" ht="15">
      <c r="B59" s="1" t="str">
        <f>B51</f>
        <v>SAFE with a Discount</v>
      </c>
      <c r="C59" s="27">
        <f ca="1">C51</f>
        <v>12676056.338028168</v>
      </c>
      <c r="D59" s="34">
        <f ca="1">C59/$C$62</f>
        <v>5.8900523560209424E-2</v>
      </c>
      <c r="E59" t="s">
        <v>46</v>
      </c>
    </row>
    <row r="60" spans="2:8" ht="15">
      <c r="B60" s="1" t="str">
        <f>B52</f>
        <v>Series - A</v>
      </c>
      <c r="C60" s="27">
        <f ca="1">D7/C30</f>
        <v>102535211.26760562</v>
      </c>
      <c r="D60" s="34">
        <f ca="1">C60/$C$62</f>
        <v>0.47643979057591618</v>
      </c>
    </row>
    <row r="61" spans="2:8" ht="15">
      <c r="B61" s="1" t="str">
        <f>B53</f>
        <v>ESOP</v>
      </c>
      <c r="C61" s="27">
        <f ca="1">C53</f>
        <v>0</v>
      </c>
      <c r="D61" s="34">
        <f ca="1">C61/$C$62</f>
        <v>0</v>
      </c>
      <c r="E61" t="s">
        <v>56</v>
      </c>
    </row>
    <row r="62" spans="2:8" ht="15">
      <c r="B62" s="10" t="s">
        <v>30</v>
      </c>
      <c r="C62" s="28">
        <f ca="1">SUM(C58:C61)</f>
        <v>215211267.6056338</v>
      </c>
      <c r="D62" s="35">
        <f ca="1">SUM(D58:D61)</f>
        <v>1</v>
      </c>
    </row>
    <row r="63" spans="2:8" ht="15"/>
    <row r="64" spans="2:8" ht="17.25" hidden="1" customHeight="1"/>
    <row r="65" ht="17.25" hidden="1" customHeight="1"/>
    <row r="66" ht="17.25" hidden="1" customHeight="1"/>
    <row r="67" ht="17.25" hidden="1" customHeight="1"/>
    <row r="68" ht="17.25" hidden="1" customHeight="1"/>
    <row r="69" ht="17.25" hidden="1" customHeight="1"/>
    <row r="70" ht="17.25" hidden="1" customHeight="1"/>
    <row r="71" ht="17.25" hidden="1" customHeight="1"/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SAFE - Simple 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D. Jarvis</dc:creator>
  <cp:lastModifiedBy>Nadav</cp:lastModifiedBy>
  <cp:lastPrinted>2019-05-17T15:08:00Z</cp:lastPrinted>
  <dcterms:created xsi:type="dcterms:W3CDTF">2017-01-28T11:12:43Z</dcterms:created>
  <dcterms:modified xsi:type="dcterms:W3CDTF">2019-07-13T14:59:57Z</dcterms:modified>
</cp:coreProperties>
</file>